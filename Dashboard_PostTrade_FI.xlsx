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_Trades" sheetId="1" state="visible" r:id="rId3"/>
    <sheet name="Synthe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<sst xmlns="http://schemas.openxmlformats.org/spreadsheetml/2006/main" count="92" uniqueCount="63">
  <si>
    <t xml:space="preserve">Suivi Post-Trade Fixed Income - Short Term Strategies</t>
  </si>
  <si>
    <t xml:space="preserve">Dernière maj : 22/04/2026  (cliquer sur 'Actualiser' pour rafraîchir)</t>
  </si>
  <si>
    <t xml:space="preserve">ISIN</t>
  </si>
  <si>
    <t xml:space="preserve">Emetteur</t>
  </si>
  <si>
    <t xml:space="preserve">Type</t>
  </si>
  <si>
    <t xml:space="preserve">Nominal</t>
  </si>
  <si>
    <t xml:space="preserve">Prix (%)</t>
  </si>
  <si>
    <t xml:space="preserve">Coupon</t>
  </si>
  <si>
    <t xml:space="preserve">Maturité</t>
  </si>
  <si>
    <t xml:space="preserve">Dt Trade</t>
  </si>
  <si>
    <t xml:space="preserve">Dt Réglement</t>
  </si>
  <si>
    <t xml:space="preserve">Contrepartie</t>
  </si>
  <si>
    <t xml:space="preserve">Statut</t>
  </si>
  <si>
    <t xml:space="preserve">Montant Total</t>
  </si>
  <si>
    <t xml:space="preserve">Contrôle</t>
  </si>
  <si>
    <t xml:space="preserve">FR0014008VX7</t>
  </si>
  <si>
    <t xml:space="preserve">Caisse des Dépôts</t>
  </si>
  <si>
    <t xml:space="preserve">OAT</t>
  </si>
  <si>
    <t xml:space="preserve">BNP Paribas</t>
  </si>
  <si>
    <t xml:space="preserve">Confirmé</t>
  </si>
  <si>
    <t xml:space="preserve">FR0013524110</t>
  </si>
  <si>
    <t xml:space="preserve">CD</t>
  </si>
  <si>
    <t xml:space="preserve">Natixis</t>
  </si>
  <si>
    <t xml:space="preserve">FR0013507496</t>
  </si>
  <si>
    <t xml:space="preserve">Crédit Agricole SA</t>
  </si>
  <si>
    <t xml:space="preserve">Société Générale CIB</t>
  </si>
  <si>
    <t xml:space="preserve">En attente</t>
  </si>
  <si>
    <t xml:space="preserve">FR0013481103</t>
  </si>
  <si>
    <t xml:space="preserve">Engie</t>
  </si>
  <si>
    <t xml:space="preserve">BT</t>
  </si>
  <si>
    <t xml:space="preserve">HSBC France</t>
  </si>
  <si>
    <t xml:space="preserve">FR0014007L00</t>
  </si>
  <si>
    <t xml:space="preserve">LVMH</t>
  </si>
  <si>
    <t xml:space="preserve">CA-CIB</t>
  </si>
  <si>
    <t xml:space="preserve">En cours</t>
  </si>
  <si>
    <t xml:space="preserve">FR0013405077</t>
  </si>
  <si>
    <t xml:space="preserve">Société Générale</t>
  </si>
  <si>
    <t xml:space="preserve">FR0013411574</t>
  </si>
  <si>
    <t xml:space="preserve">TotalEnergies</t>
  </si>
  <si>
    <t xml:space="preserve">FR0014002MN7</t>
  </si>
  <si>
    <t xml:space="preserve">Caisse d'Epargne</t>
  </si>
  <si>
    <t xml:space="preserve">FR0013531793</t>
  </si>
  <si>
    <t xml:space="preserve">Stellantis</t>
  </si>
  <si>
    <t xml:space="preserve">FR0013554958</t>
  </si>
  <si>
    <t xml:space="preserve">La Poste</t>
  </si>
  <si>
    <t xml:space="preserve">FR0013480063</t>
  </si>
  <si>
    <t xml:space="preserve">La Banque Postale</t>
  </si>
  <si>
    <t xml:space="preserve">FR0013424650</t>
  </si>
  <si>
    <t xml:space="preserve">Sanofi</t>
  </si>
  <si>
    <t xml:space="preserve">ERREUR</t>
  </si>
  <si>
    <t xml:space="preserve">TOTAL</t>
  </si>
  <si>
    <t xml:space="preserve">Synthèse - Short Term Strategies</t>
  </si>
  <si>
    <t xml:space="preserve">Données tirées de la feuille Suivi_Trades</t>
  </si>
  <si>
    <t xml:space="preserve">Nb total de trades</t>
  </si>
  <si>
    <t xml:space="preserve">Encours total (€)</t>
  </si>
  <si>
    <t xml:space="preserve">dont Confirmés</t>
  </si>
  <si>
    <t xml:space="preserve">dont En attente/cours</t>
  </si>
  <si>
    <t xml:space="preserve">dont ERREUR</t>
  </si>
  <si>
    <t xml:space="preserve">Nb alertes actives</t>
  </si>
  <si>
    <t xml:space="preserve">Prix moyen pondéré</t>
  </si>
  <si>
    <t xml:space="preserve">Répartition par type</t>
  </si>
  <si>
    <t xml:space="preserve">Nb</t>
  </si>
  <si>
    <t xml:space="preserve">% Encours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</si>
</sst>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dd/mm/yyyy"/>
    <numFmt numFmtId="168" formatCode="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75E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BDD7E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C0000C"/>
      </font>
      <fill>
        <patternFill>
          <bgColor rgb="FFF2DCDB"/>
        </patternFill>
      </fill>
    </dxf>
    <dxf>
      <font>
        <name val="Calibri"/>
        <charset val="1"/>
        <family val="0"/>
        <color rgb="FF375623"/>
      </font>
      <fill>
        <patternFill>
          <bgColor rgb="FFEBF1DE"/>
        </patternFill>
      </fill>
    </dxf>
    <dxf>
      <font>
        <name val="Calibri"/>
        <charset val="1"/>
        <family val="0"/>
        <color rgb="FF375623"/>
      </font>
    </dxf>
  </dxfs>
  <colors>
    <indexedColors>
      <rgbColor rgb="FF000000"/>
      <rgbColor rgb="FFFFFFFF"/>
      <rgbColor rgb="FFC000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" t="s">
        <v>1</v>
      </c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8" hidden="false" customHeight="true" outlineLevel="0" collapsed="false">
      <c r="A5" s="4" t="s">
        <v>15</v>
      </c>
      <c r="B5" s="4" t="s">
        <v>16</v>
      </c>
      <c r="C5" s="5" t="s">
        <v>17</v>
      </c>
      <c r="D5" s="6" t="n">
        <v>10000000</v>
      </c>
      <c r="E5" s="7" t="n">
        <v>98.75</v>
      </c>
      <c r="F5" s="7" t="n">
        <v>0.75</v>
      </c>
      <c r="G5" s="8" t="n">
        <v>46280</v>
      </c>
      <c r="H5" s="8" t="n">
        <v>46127</v>
      </c>
      <c r="I5" s="8" t="n">
        <v>46129</v>
      </c>
      <c r="J5" s="4" t="s">
        <v>18</v>
      </c>
      <c r="K5" s="5" t="s">
        <v>19</v>
      </c>
      <c r="L5" s="9" t="n">
        <f aca="false">D5*E5/100</f>
        <v>9875000</v>
      </c>
      <c r="M5" s="4" t="str">
        <f aca="true">IF(K5="ERREUR","⚠ A traiter - statut erreur",IF(AND(K5&lt;&gt;"Confirmé",I5&lt;TODAY()),"⚠ Règlement en retard",IF(E5&lt;99,"⚠ Prix à vérifier ("&amp;TEXT(E5,"0.00")&amp;"%)","OK")))</f>
        <v>⚠ Prix à vérifier (98.75%)</v>
      </c>
    </row>
    <row r="6" customFormat="false" ht="18" hidden="false" customHeight="true" outlineLevel="0" collapsed="false">
      <c r="A6" s="10" t="s">
        <v>20</v>
      </c>
      <c r="B6" s="10" t="s">
        <v>18</v>
      </c>
      <c r="C6" s="11" t="s">
        <v>21</v>
      </c>
      <c r="D6" s="12" t="n">
        <v>5000000</v>
      </c>
      <c r="E6" s="13" t="n">
        <v>99.95</v>
      </c>
      <c r="F6" s="13" t="n">
        <v>2.85</v>
      </c>
      <c r="G6" s="14" t="n">
        <v>46213</v>
      </c>
      <c r="H6" s="14" t="n">
        <v>46126</v>
      </c>
      <c r="I6" s="14" t="n">
        <v>46128</v>
      </c>
      <c r="J6" s="10" t="s">
        <v>22</v>
      </c>
      <c r="K6" s="11" t="s">
        <v>19</v>
      </c>
      <c r="L6" s="9" t="n">
        <f aca="false">D6*E6/100</f>
        <v>4997500</v>
      </c>
      <c r="M6" s="10" t="str">
        <f aca="true">IF(K6="ERREUR","⚠ A traiter - statut erreur",IF(AND(K6&lt;&gt;"Confirmé",I6&lt;TODAY()),"⚠ Règlement en retard",IF(E6&lt;99,"⚠ Prix à vérifier ("&amp;TEXT(E6,"0.00")&amp;"%)","OK")))</f>
        <v>OK</v>
      </c>
    </row>
    <row r="7" customFormat="false" ht="18" hidden="false" customHeight="true" outlineLevel="0" collapsed="false">
      <c r="A7" s="4" t="s">
        <v>23</v>
      </c>
      <c r="B7" s="4" t="s">
        <v>24</v>
      </c>
      <c r="C7" s="5" t="s">
        <v>21</v>
      </c>
      <c r="D7" s="6" t="n">
        <v>8000000</v>
      </c>
      <c r="E7" s="7" t="n">
        <v>99.9</v>
      </c>
      <c r="F7" s="7" t="n">
        <v>2.9</v>
      </c>
      <c r="G7" s="8" t="n">
        <v>46203</v>
      </c>
      <c r="H7" s="8" t="n">
        <v>46128</v>
      </c>
      <c r="I7" s="8" t="n">
        <v>46130</v>
      </c>
      <c r="J7" s="4" t="s">
        <v>25</v>
      </c>
      <c r="K7" s="5" t="s">
        <v>26</v>
      </c>
      <c r="L7" s="9" t="n">
        <f aca="false">D7*E7/100</f>
        <v>7992000</v>
      </c>
      <c r="M7" s="4" t="str">
        <f aca="true">IF(K7="ERREUR","⚠ A traiter - statut erreur",IF(AND(K7&lt;&gt;"Confirmé",I7&lt;TODAY()),"⚠ Règlement en retard",IF(E7&lt;99,"⚠ Prix à vérifier ("&amp;TEXT(E7,"0.00")&amp;"%)","OK")))</f>
        <v>⚠ Règlement en retard</v>
      </c>
    </row>
    <row r="8" customFormat="false" ht="18" hidden="false" customHeight="true" outlineLevel="0" collapsed="false">
      <c r="A8" s="10" t="s">
        <v>27</v>
      </c>
      <c r="B8" s="10" t="s">
        <v>28</v>
      </c>
      <c r="C8" s="11" t="s">
        <v>29</v>
      </c>
      <c r="D8" s="12" t="n">
        <v>3000000</v>
      </c>
      <c r="E8" s="13" t="n">
        <v>99.8</v>
      </c>
      <c r="F8" s="13" t="n">
        <v>0</v>
      </c>
      <c r="G8" s="14" t="n">
        <v>46162</v>
      </c>
      <c r="H8" s="14" t="n">
        <v>46122</v>
      </c>
      <c r="I8" s="14" t="n">
        <v>46124</v>
      </c>
      <c r="J8" s="10" t="s">
        <v>30</v>
      </c>
      <c r="K8" s="11" t="s">
        <v>19</v>
      </c>
      <c r="L8" s="9" t="n">
        <f aca="false">D8*E8/100</f>
        <v>2994000</v>
      </c>
      <c r="M8" s="10" t="str">
        <f aca="true">IF(K8="ERREUR","⚠ A traiter - statut erreur",IF(AND(K8&lt;&gt;"Confirmé",I8&lt;TODAY()),"⚠ Règlement en retard",IF(E8&lt;99,"⚠ Prix à vérifier ("&amp;TEXT(E8,"0.00")&amp;"%)","OK")))</f>
        <v>OK</v>
      </c>
    </row>
    <row r="9" customFormat="false" ht="18" hidden="false" customHeight="true" outlineLevel="0" collapsed="false">
      <c r="A9" s="4" t="s">
        <v>31</v>
      </c>
      <c r="B9" s="4" t="s">
        <v>32</v>
      </c>
      <c r="C9" s="5" t="s">
        <v>29</v>
      </c>
      <c r="D9" s="6" t="n">
        <v>4500000</v>
      </c>
      <c r="E9" s="7" t="n">
        <v>99.72</v>
      </c>
      <c r="F9" s="7" t="n">
        <v>0</v>
      </c>
      <c r="G9" s="8" t="n">
        <v>46188</v>
      </c>
      <c r="H9" s="8" t="n">
        <v>46129</v>
      </c>
      <c r="I9" s="8" t="n">
        <v>46133</v>
      </c>
      <c r="J9" s="4" t="s">
        <v>33</v>
      </c>
      <c r="K9" s="5" t="s">
        <v>34</v>
      </c>
      <c r="L9" s="9" t="n">
        <f aca="false">D9*E9/100</f>
        <v>4487400</v>
      </c>
      <c r="M9" s="4" t="str">
        <f aca="true">IF(K9="ERREUR","⚠ A traiter - statut erreur",IF(AND(K9&lt;&gt;"Confirmé",I9&lt;TODAY()),"⚠ Règlement en retard",IF(E9&lt;99,"⚠ Prix à vérifier ("&amp;TEXT(E9,"0.00")&amp;"%)","OK")))</f>
        <v>⚠ Règlement en retard</v>
      </c>
    </row>
    <row r="10" customFormat="false" ht="18" hidden="false" customHeight="true" outlineLevel="0" collapsed="false">
      <c r="A10" s="10" t="s">
        <v>35</v>
      </c>
      <c r="B10" s="10" t="s">
        <v>36</v>
      </c>
      <c r="C10" s="11" t="s">
        <v>21</v>
      </c>
      <c r="D10" s="12" t="n">
        <v>6000000</v>
      </c>
      <c r="E10" s="13" t="n">
        <v>99.85</v>
      </c>
      <c r="F10" s="13" t="n">
        <v>2.95</v>
      </c>
      <c r="G10" s="14" t="n">
        <v>46239</v>
      </c>
      <c r="H10" s="14" t="n">
        <v>46127</v>
      </c>
      <c r="I10" s="14" t="n">
        <v>46129</v>
      </c>
      <c r="J10" s="10" t="s">
        <v>18</v>
      </c>
      <c r="K10" s="11" t="s">
        <v>19</v>
      </c>
      <c r="L10" s="9" t="n">
        <f aca="false">D10*E10/100</f>
        <v>5991000</v>
      </c>
      <c r="M10" s="10" t="str">
        <f aca="true">IF(K10="ERREUR","⚠ A traiter - statut erreur",IF(AND(K10&lt;&gt;"Confirmé",I10&lt;TODAY()),"⚠ Règlement en retard",IF(E10&lt;99,"⚠ Prix à vérifier ("&amp;TEXT(E10,"0.00")&amp;"%)","OK")))</f>
        <v>OK</v>
      </c>
    </row>
    <row r="11" customFormat="false" ht="18" hidden="false" customHeight="true" outlineLevel="0" collapsed="false">
      <c r="A11" s="4" t="s">
        <v>37</v>
      </c>
      <c r="B11" s="4" t="s">
        <v>38</v>
      </c>
      <c r="C11" s="5" t="s">
        <v>29</v>
      </c>
      <c r="D11" s="6" t="n">
        <v>2000000</v>
      </c>
      <c r="E11" s="7" t="n">
        <v>99.91</v>
      </c>
      <c r="F11" s="7" t="n">
        <v>0</v>
      </c>
      <c r="G11" s="8" t="n">
        <v>46152</v>
      </c>
      <c r="H11" s="8" t="n">
        <v>46120</v>
      </c>
      <c r="I11" s="8" t="n">
        <v>46122</v>
      </c>
      <c r="J11" s="4" t="s">
        <v>22</v>
      </c>
      <c r="K11" s="5" t="s">
        <v>19</v>
      </c>
      <c r="L11" s="9" t="n">
        <f aca="false">D11*E11/100</f>
        <v>1998200</v>
      </c>
      <c r="M11" s="4" t="str">
        <f aca="true">IF(K11="ERREUR","⚠ A traiter - statut erreur",IF(AND(K11&lt;&gt;"Confirmé",I11&lt;TODAY()),"⚠ Règlement en retard",IF(E11&lt;99,"⚠ Prix à vérifier ("&amp;TEXT(E11,"0.00")&amp;"%)","OK")))</f>
        <v>OK</v>
      </c>
    </row>
    <row r="12" customFormat="false" ht="18" hidden="false" customHeight="true" outlineLevel="0" collapsed="false">
      <c r="A12" s="10" t="s">
        <v>39</v>
      </c>
      <c r="B12" s="10" t="s">
        <v>40</v>
      </c>
      <c r="C12" s="11" t="s">
        <v>21</v>
      </c>
      <c r="D12" s="12" t="n">
        <v>7500000</v>
      </c>
      <c r="E12" s="13" t="n">
        <v>99.88</v>
      </c>
      <c r="F12" s="13" t="n">
        <v>2.8</v>
      </c>
      <c r="G12" s="14" t="n">
        <v>46295</v>
      </c>
      <c r="H12" s="14" t="n">
        <v>46128</v>
      </c>
      <c r="I12" s="14" t="n">
        <v>46132</v>
      </c>
      <c r="J12" s="10" t="s">
        <v>25</v>
      </c>
      <c r="K12" s="11" t="s">
        <v>26</v>
      </c>
      <c r="L12" s="9" t="n">
        <f aca="false">D12*E12/100</f>
        <v>7491000</v>
      </c>
      <c r="M12" s="10" t="str">
        <f aca="true">IF(K12="ERREUR","⚠ A traiter - statut erreur",IF(AND(K12&lt;&gt;"Confirmé",I12&lt;TODAY()),"⚠ Règlement en retard",IF(E12&lt;99,"⚠ Prix à vérifier ("&amp;TEXT(E12,"0.00")&amp;"%)","OK")))</f>
        <v>⚠ Règlement en retard</v>
      </c>
    </row>
    <row r="13" customFormat="false" ht="18" hidden="false" customHeight="true" outlineLevel="0" collapsed="false">
      <c r="A13" s="4" t="s">
        <v>41</v>
      </c>
      <c r="B13" s="4" t="s">
        <v>42</v>
      </c>
      <c r="C13" s="5" t="s">
        <v>29</v>
      </c>
      <c r="D13" s="6" t="n">
        <v>1500000</v>
      </c>
      <c r="E13" s="7" t="n">
        <v>99.6</v>
      </c>
      <c r="F13" s="7" t="n">
        <v>0</v>
      </c>
      <c r="G13" s="8" t="n">
        <v>46147</v>
      </c>
      <c r="H13" s="8" t="n">
        <v>46124</v>
      </c>
      <c r="I13" s="8" t="n">
        <v>46126</v>
      </c>
      <c r="J13" s="4" t="s">
        <v>30</v>
      </c>
      <c r="K13" s="5" t="s">
        <v>19</v>
      </c>
      <c r="L13" s="9" t="n">
        <f aca="false">D13*E13/100</f>
        <v>1494000</v>
      </c>
      <c r="M13" s="4" t="str">
        <f aca="true">IF(K13="ERREUR","⚠ A traiter - statut erreur",IF(AND(K13&lt;&gt;"Confirmé",I13&lt;TODAY()),"⚠ Règlement en retard",IF(E13&lt;99,"⚠ Prix à vérifier ("&amp;TEXT(E13,"0.00")&amp;"%)","OK")))</f>
        <v>OK</v>
      </c>
    </row>
    <row r="14" customFormat="false" ht="18" hidden="false" customHeight="true" outlineLevel="0" collapsed="false">
      <c r="A14" s="10" t="s">
        <v>43</v>
      </c>
      <c r="B14" s="10" t="s">
        <v>44</v>
      </c>
      <c r="C14" s="11" t="s">
        <v>29</v>
      </c>
      <c r="D14" s="12" t="n">
        <v>2500000</v>
      </c>
      <c r="E14" s="13" t="n">
        <v>99.78</v>
      </c>
      <c r="F14" s="13" t="n">
        <v>0</v>
      </c>
      <c r="G14" s="14" t="n">
        <v>46223</v>
      </c>
      <c r="H14" s="14" t="n">
        <v>46130</v>
      </c>
      <c r="I14" s="14" t="n">
        <v>46134</v>
      </c>
      <c r="J14" s="10" t="s">
        <v>33</v>
      </c>
      <c r="K14" s="11" t="s">
        <v>34</v>
      </c>
      <c r="L14" s="9" t="n">
        <f aca="false">D14*E14/100</f>
        <v>2494500</v>
      </c>
      <c r="M14" s="10" t="str">
        <f aca="true">IF(K14="ERREUR","⚠ A traiter - statut erreur",IF(AND(K14&lt;&gt;"Confirmé",I14&lt;TODAY()),"⚠ Règlement en retard",IF(E14&lt;99,"⚠ Prix à vérifier ("&amp;TEXT(E14,"0.00")&amp;"%)","OK")))</f>
        <v>OK</v>
      </c>
    </row>
    <row r="15" customFormat="false" ht="18" hidden="false" customHeight="true" outlineLevel="0" collapsed="false">
      <c r="A15" s="4" t="s">
        <v>45</v>
      </c>
      <c r="B15" s="4" t="s">
        <v>46</v>
      </c>
      <c r="C15" s="5" t="s">
        <v>21</v>
      </c>
      <c r="D15" s="6" t="n">
        <v>4000000</v>
      </c>
      <c r="E15" s="7" t="n">
        <v>99.93</v>
      </c>
      <c r="F15" s="7" t="n">
        <v>2.7</v>
      </c>
      <c r="G15" s="8" t="n">
        <v>46198</v>
      </c>
      <c r="H15" s="8" t="n">
        <v>46126</v>
      </c>
      <c r="I15" s="8" t="n">
        <v>46128</v>
      </c>
      <c r="J15" s="4" t="s">
        <v>18</v>
      </c>
      <c r="K15" s="5" t="s">
        <v>19</v>
      </c>
      <c r="L15" s="9" t="n">
        <f aca="false">D15*E15/100</f>
        <v>3997200</v>
      </c>
      <c r="M15" s="4" t="str">
        <f aca="true">IF(K15="ERREUR","⚠ A traiter - statut erreur",IF(AND(K15&lt;&gt;"Confirmé",I15&lt;TODAY()),"⚠ Règlement en retard",IF(E15&lt;99,"⚠ Prix à vérifier ("&amp;TEXT(E15,"0.00")&amp;"%)","OK")))</f>
        <v>OK</v>
      </c>
    </row>
    <row r="16" customFormat="false" ht="18" hidden="false" customHeight="true" outlineLevel="0" collapsed="false">
      <c r="A16" s="10" t="s">
        <v>47</v>
      </c>
      <c r="B16" s="10" t="s">
        <v>48</v>
      </c>
      <c r="C16" s="11" t="s">
        <v>29</v>
      </c>
      <c r="D16" s="12" t="n">
        <v>3500000</v>
      </c>
      <c r="E16" s="13" t="n">
        <v>99.85</v>
      </c>
      <c r="F16" s="13" t="n">
        <v>0</v>
      </c>
      <c r="G16" s="14" t="n">
        <v>46249</v>
      </c>
      <c r="H16" s="14" t="n">
        <v>46121</v>
      </c>
      <c r="I16" s="14" t="n">
        <v>46123</v>
      </c>
      <c r="J16" s="10" t="s">
        <v>22</v>
      </c>
      <c r="K16" s="11" t="s">
        <v>49</v>
      </c>
      <c r="L16" s="9" t="n">
        <f aca="false">D16*E16/100</f>
        <v>3494750</v>
      </c>
      <c r="M16" s="10" t="str">
        <f aca="true">IF(K16="ERREUR","⚠ A traiter - statut erreur",IF(AND(K16&lt;&gt;"Confirmé",I16&lt;TODAY()),"⚠ Règlement en retard",IF(E16&lt;99,"⚠ Prix à vérifier ("&amp;TEXT(E16,"0.00")&amp;"%)","OK")))</f>
        <v>⚠ A traiter - statut erreur</v>
      </c>
    </row>
    <row r="17" customFormat="false" ht="19.5" hidden="false" customHeight="true" outlineLevel="0" collapsed="false">
      <c r="C17" s="15" t="s">
        <v>50</v>
      </c>
      <c r="L17" s="16" t="n">
        <f aca="false">SUM(L5:L16)</f>
        <v>57306550</v>
      </c>
    </row>
  </sheetData>
  <mergeCells count="1">
    <mergeCell ref="A1:M1"/>
  </mergeCells>
  <conditionalFormatting sqref="M5:M16">
    <cfRule type="expression" priority="2" aboveAverage="0" equalAverage="0" bottom="0" percent="0" rank="0" text="" dxfId="0">
      <formula>LEFT(M5,1)="⚠"</formula>
    </cfRule>
    <cfRule type="expression" priority="3" aboveAverage="0" equalAverage="0" bottom="0" percent="0" rank="0" text="" dxfId="1">
      <formula>M5="OK"</formula>
    </cfRule>
  </conditionalFormatting>
  <conditionalFormatting sqref="K5:K16">
    <cfRule type="expression" priority="4" aboveAverage="0" equalAverage="0" bottom="0" percent="0" rank="0" text="" dxfId="0">
      <formula>K5="ERREUR"</formula>
    </cfRule>
    <cfRule type="expression" priority="5" aboveAverage="0" equalAverage="0" bottom="0" percent="0" rank="0" text="" dxfId="2">
      <formula>K5="Confirmé"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"/>
  </cols>
  <sheetData>
    <row r="1" customFormat="false" ht="24" hidden="false" customHeight="true" outlineLevel="0" collapsed="false">
      <c r="A1" s="17" t="s">
        <v>51</v>
      </c>
      <c r="B1" s="17"/>
      <c r="C1" s="17"/>
      <c r="D1" s="17"/>
      <c r="E1" s="17"/>
      <c r="F1" s="17"/>
    </row>
    <row r="2" customFormat="false" ht="13.5" hidden="false" customHeight="true" outlineLevel="0" collapsed="false">
      <c r="A2" s="18" t="s">
        <v>52</v>
      </c>
    </row>
    <row r="3" customFormat="false" ht="9.75" hidden="false" customHeight="true" outlineLevel="0" collapsed="false"/>
    <row r="4" customFormat="false" ht="19.5" hidden="false" customHeight="true" outlineLevel="0" collapsed="false">
      <c r="A4" s="19" t="s">
        <v>53</v>
      </c>
      <c r="B4" s="20" t="n">
        <f aca="false">COUNTA(Suivi_Trades!A5:A16)</f>
        <v>12</v>
      </c>
    </row>
    <row r="5" customFormat="false" ht="19.5" hidden="false" customHeight="true" outlineLevel="0" collapsed="false">
      <c r="A5" s="19" t="s">
        <v>54</v>
      </c>
      <c r="B5" s="21" t="n">
        <f aca="false">SUM(Suivi_Trades!L5:L16)</f>
        <v>57306550</v>
      </c>
    </row>
    <row r="6" customFormat="false" ht="19.5" hidden="false" customHeight="true" outlineLevel="0" collapsed="false">
      <c r="A6" s="19" t="s">
        <v>55</v>
      </c>
      <c r="B6" s="20" t="n">
        <f aca="false">COUNTIF(Suivi_Trades!K5:K16,"Confirmé")</f>
        <v>7</v>
      </c>
    </row>
    <row r="7" customFormat="false" ht="19.5" hidden="false" customHeight="true" outlineLevel="0" collapsed="false">
      <c r="A7" s="19" t="s">
        <v>56</v>
      </c>
      <c r="B7" s="20" t="n">
        <f aca="false">COUNTIF(Suivi_Trades!K5:K16,"En attente")+COUNTIF(Suivi_Trades!K5:K16,"En cours")</f>
        <v>4</v>
      </c>
    </row>
    <row r="8" customFormat="false" ht="19.5" hidden="false" customHeight="true" outlineLevel="0" collapsed="false">
      <c r="A8" s="19" t="s">
        <v>57</v>
      </c>
      <c r="B8" s="20" t="n">
        <f aca="false">COUNTIF(Suivi_Trades!K5:K16,"ERREUR")</f>
        <v>1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19" t="s">
        <v>58</v>
      </c>
      <c r="B10" s="20" t="n">
        <f aca="false">COUNTIF(Suivi_Trades!M5:M16,"&lt;&gt;OK")</f>
        <v>5</v>
      </c>
    </row>
    <row r="11" customFormat="false" ht="19.5" hidden="false" customHeight="true" outlineLevel="0" collapsed="false">
      <c r="A11" s="19" t="s">
        <v>59</v>
      </c>
      <c r="B11" s="22" t="n">
        <f aca="false">SUMPRODUCT(Suivi_Trades!D5:D16,Suivi_Trades!E5:E16)/SUM(Suivi_Trades!D5:D16)</f>
        <v>99.6635652173913</v>
      </c>
    </row>
    <row r="13" customFormat="false" ht="9.75" hidden="false" customHeight="true" outlineLevel="0" collapsed="false"/>
    <row r="14" customFormat="false" ht="19.5" hidden="false" customHeight="true" outlineLevel="0" collapsed="false">
      <c r="A14" s="23" t="s">
        <v>60</v>
      </c>
      <c r="B14" s="23"/>
      <c r="C14" s="23"/>
    </row>
    <row r="15" customFormat="false" ht="18" hidden="false" customHeight="true" outlineLevel="0" collapsed="false">
      <c r="A15" s="24" t="s">
        <v>4</v>
      </c>
      <c r="B15" s="24" t="s">
        <v>61</v>
      </c>
      <c r="C15" s="24" t="s">
        <v>62</v>
      </c>
    </row>
    <row r="16" customFormat="false" ht="18" hidden="false" customHeight="true" outlineLevel="0" collapsed="false">
      <c r="A16" s="25" t="s">
        <v>17</v>
      </c>
      <c r="B16" s="26" t="n">
        <f aca="false">COUNTIF(Suivi_Trades!C$5:C$16,A16)</f>
        <v>1</v>
      </c>
      <c r="C16" s="27" t="n">
        <f aca="false">SUMIF(Suivi_Trades!C$5:C$16,A16,Suivi_Trades!D$5:D$16)/SUM(Suivi_Trades!D$5:D$16)</f>
        <v>0.173913043478261</v>
      </c>
    </row>
    <row r="17" customFormat="false" ht="18" hidden="false" customHeight="true" outlineLevel="0" collapsed="false">
      <c r="A17" s="28" t="s">
        <v>21</v>
      </c>
      <c r="B17" s="29" t="n">
        <f aca="false">COUNTIF(Suivi_Trades!C$5:C$16,A17)</f>
        <v>5</v>
      </c>
      <c r="C17" s="30" t="n">
        <f aca="false">SUMIF(Suivi_Trades!C$5:C$16,A17,Suivi_Trades!D$5:D$16)/SUM(Suivi_Trades!D$5:D$16)</f>
        <v>0.530434782608696</v>
      </c>
    </row>
    <row r="18" customFormat="false" ht="18" hidden="false" customHeight="true" outlineLevel="0" collapsed="false">
      <c r="A18" s="25" t="s">
        <v>29</v>
      </c>
      <c r="B18" s="26" t="n">
        <f aca="false">COUNTIF(Suivi_Trades!C$5:C$16,A18)</f>
        <v>6</v>
      </c>
      <c r="C18" s="27" t="n">
        <f aca="false">SUMIF(Suivi_Trades!C$5:C$16,A18,Suivi_Trades!D$5:D$16)/SUM(Suivi_Trades!D$5:D$16)</f>
        <v>0.295652173913044</v>
      </c>
    </row>
  </sheetData>
  <mergeCells count="2">
    <mergeCell ref="A1:F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2026-04-22T20:14:29Z</dcterms:created>
  <dc:creator>openpyxl</dc:creator>
  <dc:description/>
  <dc:language>en-US</dc:language>
  <cp:lastModifiedBy/>
  <dcterms:modified xsi:type="dcterms:W3CDTF">2026-04-22T20:14:29Z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